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VISION_TC\"/>
    </mc:Choice>
  </mc:AlternateContent>
  <xr:revisionPtr revIDLastSave="0" documentId="13_ncr:1_{C960F57F-45AD-4F15-8FDF-C40534D8FC7C}" xr6:coauthVersionLast="47" xr6:coauthVersionMax="47" xr10:uidLastSave="{00000000-0000-0000-0000-000000000000}"/>
  <bookViews>
    <workbookView xWindow="-28920" yWindow="-1680" windowWidth="29040" windowHeight="15840" xr2:uid="{00000000-000D-0000-FFFF-FFFF00000000}"/>
  </bookViews>
  <sheets>
    <sheet name="_CONFIG" sheetId="1" r:id="rId1"/>
    <sheet name="Datos" sheetId="2" r:id="rId2"/>
    <sheet name="Analisis" sheetId="3" r:id="rId3"/>
    <sheet name="Operaciones básicas" sheetId="4" r:id="rId4"/>
    <sheet name="VEN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G9" i="5" s="1"/>
  <c r="F8" i="5"/>
  <c r="G8" i="5" s="1"/>
  <c r="F7" i="5"/>
  <c r="G7" i="5" s="1"/>
  <c r="F6" i="5"/>
  <c r="G6" i="5" s="1"/>
  <c r="F5" i="5"/>
  <c r="G5" i="5" s="1"/>
  <c r="F4" i="5"/>
  <c r="G4" i="5" s="1"/>
  <c r="D31" i="4"/>
  <c r="B31" i="4"/>
  <c r="D23" i="4"/>
  <c r="B23" i="4"/>
  <c r="D15" i="4"/>
  <c r="B15" i="4"/>
  <c r="D7" i="4"/>
  <c r="B7" i="4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B12" i="2"/>
  <c r="B11" i="2"/>
  <c r="B10" i="2"/>
  <c r="G11" i="5" l="1"/>
  <c r="G12" i="5" l="1"/>
  <c r="G13" i="5" s="1"/>
</calcChain>
</file>

<file path=xl/sharedStrings.xml><?xml version="1.0" encoding="utf-8"?>
<sst xmlns="http://schemas.openxmlformats.org/spreadsheetml/2006/main" count="178" uniqueCount="92">
  <si>
    <t>hoja_nombre</t>
  </si>
  <si>
    <t>hoja_indice</t>
  </si>
  <si>
    <t>tema_id</t>
  </si>
  <si>
    <t>celdas_evaluar</t>
  </si>
  <si>
    <t>peso</t>
  </si>
  <si>
    <t>Lista_Temas_ID</t>
  </si>
  <si>
    <t>Datos</t>
  </si>
  <si>
    <t>nombre_hoja</t>
  </si>
  <si>
    <t>-</t>
  </si>
  <si>
    <t>color_hoja</t>
  </si>
  <si>
    <t>formato_moneda</t>
  </si>
  <si>
    <t>B2:B12</t>
  </si>
  <si>
    <t>operaciones_basicas</t>
  </si>
  <si>
    <t>promedio</t>
  </si>
  <si>
    <t>B10</t>
  </si>
  <si>
    <t>concatenar</t>
  </si>
  <si>
    <t>max_min</t>
  </si>
  <si>
    <t>B11:B12</t>
  </si>
  <si>
    <t>contar</t>
  </si>
  <si>
    <t>Analisis</t>
  </si>
  <si>
    <t>C2:C21</t>
  </si>
  <si>
    <t>contara</t>
  </si>
  <si>
    <t>contar_si</t>
  </si>
  <si>
    <t>buscarv</t>
  </si>
  <si>
    <t>contar_blanco</t>
  </si>
  <si>
    <t>si_simple</t>
  </si>
  <si>
    <t>D2:D21</t>
  </si>
  <si>
    <t>Operaciones Básicas</t>
  </si>
  <si>
    <t>mediana</t>
  </si>
  <si>
    <t>moda_uno</t>
  </si>
  <si>
    <t>bordes</t>
  </si>
  <si>
    <t>B4:B7, D4:D7, B12:B15, D12:D15, B20:B23, D20:D23, B28:B31, D28:D31</t>
  </si>
  <si>
    <t>relleno</t>
  </si>
  <si>
    <t>B7, D7, B15, D15, B23, D23, B31, D31</t>
  </si>
  <si>
    <t>color_fuente</t>
  </si>
  <si>
    <t>si_anidado</t>
  </si>
  <si>
    <t>VENTAS</t>
  </si>
  <si>
    <t>sumar_si</t>
  </si>
  <si>
    <t>si_conjunto</t>
  </si>
  <si>
    <t>F4:G9, G11:G13</t>
  </si>
  <si>
    <t>operaciones_combinadas</t>
  </si>
  <si>
    <t>B3:G3, F4:G9, F11:G13</t>
  </si>
  <si>
    <t>calculo_porcentaje</t>
  </si>
  <si>
    <t>B3:G9</t>
  </si>
  <si>
    <t>si_con_calculo</t>
  </si>
  <si>
    <t>F4:F9</t>
  </si>
  <si>
    <t>tabla_dinamica</t>
  </si>
  <si>
    <t>G4:G9</t>
  </si>
  <si>
    <t>grafico_dinamico</t>
  </si>
  <si>
    <t>G11</t>
  </si>
  <si>
    <t>grafico_normal</t>
  </si>
  <si>
    <t>G12</t>
  </si>
  <si>
    <t>filtros</t>
  </si>
  <si>
    <t>G13</t>
  </si>
  <si>
    <t>formato_condicional</t>
  </si>
  <si>
    <t>validacion_datos</t>
  </si>
  <si>
    <t>formato_fecha</t>
  </si>
  <si>
    <t>Producto</t>
  </si>
  <si>
    <t>Precio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</si>
  <si>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</si>
  <si>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</si>
  <si>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</si>
  <si>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</si>
  <si>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</si>
  <si>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</si>
  <si>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</si>
  <si>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Promedio</t>
  </si>
  <si>
    <t>Máximo</t>
  </si>
  <si>
    <t>Mínimo</t>
  </si>
  <si>
    <t>Código</t>
  </si>
  <si>
    <t>Cantidad</t>
  </si>
  <si>
    <t>Precio Unitario</t>
  </si>
  <si>
    <t>Descuento</t>
  </si>
  <si>
    <t>Nombre</t>
  </si>
  <si>
    <t>C03</t>
  </si>
  <si>
    <t>C01</t>
  </si>
  <si>
    <t>Camisa</t>
  </si>
  <si>
    <t>C02</t>
  </si>
  <si>
    <t>Pantalón</t>
  </si>
  <si>
    <t>Zapatos</t>
  </si>
  <si>
    <t>SUMA</t>
  </si>
  <si>
    <t>RESTA</t>
  </si>
  <si>
    <t>MULTIPLICACIÓN</t>
  </si>
  <si>
    <t>DIVISIÓN</t>
  </si>
  <si>
    <t>CANTIDAD</t>
  </si>
  <si>
    <t>PRODUCTO</t>
  </si>
  <si>
    <t>PRECIO UN.</t>
  </si>
  <si>
    <t>TOTAL</t>
  </si>
  <si>
    <t>DESC.</t>
  </si>
  <si>
    <t>TOTAL CON DESC.</t>
  </si>
  <si>
    <t>DESCUENTOS DE 10% EN COMPRAS MAYORES A 20 PRODUCTOS</t>
  </si>
  <si>
    <t>I.V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</si>
</sst>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₡&quot;* #,##0.00_-;\-&quot;₡&quot;* #,##0.00_-;_-&quot;₡&quot;* &quot;-&quot;??_-;_-@_-"/>
    <numFmt numFmtId="164" formatCode="_-[$$-540A]* #,##0.00_ ;_-[$$-540A]* \-#,##0.00\ ;_-[$$-540A]* &quot;-&quot;??_ ;_-@_ 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56B3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4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44" fontId="0" fillId="0" borderId="1" xfId="1" applyFont="1" applyBorder="1"/>
    <xf numFmtId="44" fontId="3" fillId="3" borderId="1" xfId="1" applyFont="1" applyFill="1" applyBorder="1"/>
    <xf numFmtId="164" fontId="0" fillId="0" borderId="1" xfId="0" applyNumberFormat="1" applyBorder="1"/>
    <xf numFmtId="0" fontId="3" fillId="4" borderId="0" xfId="0" applyFont="1" applyFill="1" applyAlignment="1">
      <alignment horizontal="center" vertical="center"/>
    </xf>
    <xf numFmtId="0" fontId="3" fillId="5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44" fontId="0" fillId="6" borderId="1" xfId="1" applyFont="1" applyFill="1" applyBorder="1" applyAlignment="1">
      <alignment horizontal="center"/>
    </xf>
    <xf numFmtId="0" fontId="4" fillId="6" borderId="1" xfId="0" applyFont="1" applyFill="1" applyBorder="1" applyAlignment="1">
      <alignment horizontal="right"/>
    </xf>
    <xf numFmtId="44" fontId="0" fillId="6" borderId="1" xfId="0" applyNumberFormat="1" applyFill="1" applyBorder="1" applyAlignment="1">
      <alignment horizontal="center"/>
    </xf>
    <xf numFmtId="44" fontId="0" fillId="0" borderId="0" xfId="0" applyNumberFormat="1"/>
    <xf numFmtId="44" fontId="4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VENTAS!$F$11:$F$13</c:f>
              <c:strCache>
                <c:ptCount val="3"/>
                <c:pt idx="0">
                  <c:v>TOTAL</c:v>
                </c:pt>
                <c:pt idx="1">
                  <c:v>I.V 13%</c:v>
                </c:pt>
                <c:pt idx="2">
                  <c:v>TOTAL</c:v>
                </c:pt>
              </c:strCache>
            </c:strRef>
          </c:cat>
          <c:val>
            <c:numRef>
              <c:f>VENTAS!$G$11:$G$13</c:f>
              <c:numCache>
                <c:formatCode>_("₡"* #,##0.00_);_("₡"* \(#,##0.00\);_("₡"*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3-46C6-B7D7-017125D3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70114431"/>
        <c:axId val="1270126431"/>
        <c:axId val="0"/>
      </c:bar3DChart>
      <c:catAx>
        <c:axId val="127011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70126431"/>
        <c:crosses val="autoZero"/>
        <c:auto val="1"/>
        <c:lblAlgn val="ctr"/>
        <c:lblOffset val="100"/>
        <c:noMultiLvlLbl val="0"/>
      </c:catAx>
      <c:valAx>
        <c:axId val="127012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₡&quot;* #,##0.00_);_(&quot;₡&quot;* \(#,##0.00\);_(&quot;₡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7011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14</xdr:row>
      <xdr:rowOff>23812</xdr:rowOff>
    </xdr:from>
    <xdr:to>
      <xdr:col>4</xdr:col>
      <xdr:colOff>942975</xdr:colOff>
      <xdr:row>28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1B7A6-0EBB-A8B4-DC54-DE34324E5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80" zoomScaleNormal="80" workbookViewId="0">
      <selection activeCell="D30" sqref="D30"/>
    </sheetView>
  </sheetViews>
  <sheetFormatPr baseColWidth="10" defaultColWidth="9.140625" defaultRowHeight="15" x14ac:dyDescent="0.25"/>
  <cols>
    <col min="1" max="1" width="22.140625" customWidth="1"/>
    <col min="2" max="2" width="12" customWidth="1"/>
    <col min="3" max="3" width="24" customWidth="1"/>
    <col min="4" max="4" width="61.28515625" bestFit="1" customWidth="1"/>
    <col min="5" max="5" width="8" customWidth="1"/>
    <col min="8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9" t="s">
        <v>5</v>
      </c>
    </row>
    <row r="2" spans="1:8" x14ac:dyDescent="0.25">
      <c r="A2" t="s">
        <v>6</v>
      </c>
      <c r="B2">
        <v>1</v>
      </c>
      <c r="C2" t="s">
        <v>7</v>
      </c>
      <c r="D2" t="s">
        <v>8</v>
      </c>
      <c r="E2">
        <v>1</v>
      </c>
      <c r="H2" s="4" t="s">
        <v>7</v>
      </c>
    </row>
    <row r="3" spans="1:8" x14ac:dyDescent="0.25">
      <c r="A3" t="s">
        <v>6</v>
      </c>
      <c r="B3">
        <v>1</v>
      </c>
      <c r="C3" t="s">
        <v>9</v>
      </c>
      <c r="D3" t="s">
        <v>8</v>
      </c>
      <c r="E3">
        <v>1</v>
      </c>
      <c r="H3" s="4" t="s">
        <v>9</v>
      </c>
    </row>
    <row r="4" spans="1:8" x14ac:dyDescent="0.25">
      <c r="A4" t="s">
        <v>6</v>
      </c>
      <c r="B4">
        <v>1</v>
      </c>
      <c r="C4" t="s">
        <v>10</v>
      </c>
      <c r="D4" t="s">
        <v>11</v>
      </c>
      <c r="E4">
        <v>1</v>
      </c>
      <c r="H4" s="4" t="s">
        <v>12</v>
      </c>
    </row>
    <row r="5" spans="1:8" x14ac:dyDescent="0.25">
      <c r="A5" t="s">
        <v>6</v>
      </c>
      <c r="B5">
        <v>1</v>
      </c>
      <c r="C5" t="s">
        <v>13</v>
      </c>
      <c r="D5" t="s">
        <v>14</v>
      </c>
      <c r="E5">
        <v>1</v>
      </c>
      <c r="H5" s="4" t="s">
        <v>15</v>
      </c>
    </row>
    <row r="6" spans="1:8" x14ac:dyDescent="0.25">
      <c r="A6" t="s">
        <v>6</v>
      </c>
      <c r="B6">
        <v>1</v>
      </c>
      <c r="C6" t="s">
        <v>16</v>
      </c>
      <c r="D6" t="s">
        <v>17</v>
      </c>
      <c r="E6">
        <v>1</v>
      </c>
      <c r="H6" s="4" t="s">
        <v>18</v>
      </c>
    </row>
    <row r="7" spans="1:8" x14ac:dyDescent="0.25">
      <c r="A7" t="s">
        <v>19</v>
      </c>
      <c r="B7">
        <v>2</v>
      </c>
      <c r="C7" t="s">
        <v>10</v>
      </c>
      <c r="D7" t="s">
        <v>20</v>
      </c>
      <c r="E7">
        <v>1</v>
      </c>
      <c r="H7" s="4" t="s">
        <v>21</v>
      </c>
    </row>
    <row r="8" spans="1:8" x14ac:dyDescent="0.25">
      <c r="A8" t="s">
        <v>19</v>
      </c>
      <c r="B8">
        <v>2</v>
      </c>
      <c r="C8" t="s">
        <v>7</v>
      </c>
      <c r="D8" t="s">
        <v>8</v>
      </c>
      <c r="E8">
        <v>1</v>
      </c>
      <c r="H8" s="4" t="s">
        <v>22</v>
      </c>
    </row>
    <row r="9" spans="1:8" x14ac:dyDescent="0.25">
      <c r="A9" t="s">
        <v>19</v>
      </c>
      <c r="B9">
        <v>2</v>
      </c>
      <c r="C9" t="s">
        <v>23</v>
      </c>
      <c r="D9" t="s">
        <v>20</v>
      </c>
      <c r="E9">
        <v>3</v>
      </c>
      <c r="H9" s="4" t="s">
        <v>24</v>
      </c>
    </row>
    <row r="10" spans="1:8" x14ac:dyDescent="0.25">
      <c r="A10" t="s">
        <v>19</v>
      </c>
      <c r="B10">
        <v>2</v>
      </c>
      <c r="C10" t="s">
        <v>25</v>
      </c>
      <c r="D10" t="s">
        <v>26</v>
      </c>
      <c r="E10">
        <v>3</v>
      </c>
      <c r="H10" s="4" t="s">
        <v>13</v>
      </c>
    </row>
    <row r="11" spans="1:8" x14ac:dyDescent="0.25">
      <c r="A11" t="s">
        <v>27</v>
      </c>
      <c r="B11">
        <v>3</v>
      </c>
      <c r="C11" t="s">
        <v>7</v>
      </c>
      <c r="D11" t="s">
        <v>8</v>
      </c>
      <c r="E11">
        <v>1</v>
      </c>
      <c r="H11" s="4" t="s">
        <v>28</v>
      </c>
    </row>
    <row r="12" spans="1:8" x14ac:dyDescent="0.25">
      <c r="A12" t="s">
        <v>27</v>
      </c>
      <c r="B12">
        <v>3</v>
      </c>
      <c r="C12" t="s">
        <v>9</v>
      </c>
      <c r="D12" t="s">
        <v>8</v>
      </c>
      <c r="E12">
        <v>1</v>
      </c>
      <c r="H12" s="4" t="s">
        <v>29</v>
      </c>
    </row>
    <row r="13" spans="1:8" x14ac:dyDescent="0.25">
      <c r="A13" t="s">
        <v>27</v>
      </c>
      <c r="B13">
        <v>3</v>
      </c>
      <c r="C13" t="s">
        <v>30</v>
      </c>
      <c r="D13" t="s">
        <v>31</v>
      </c>
      <c r="E13">
        <v>1</v>
      </c>
      <c r="H13" s="4" t="s">
        <v>16</v>
      </c>
    </row>
    <row r="14" spans="1:8" x14ac:dyDescent="0.25">
      <c r="A14" t="s">
        <v>27</v>
      </c>
      <c r="B14">
        <v>3</v>
      </c>
      <c r="C14" t="s">
        <v>32</v>
      </c>
      <c r="D14" t="s">
        <v>33</v>
      </c>
      <c r="E14">
        <v>1</v>
      </c>
      <c r="H14" s="4" t="s">
        <v>25</v>
      </c>
    </row>
    <row r="15" spans="1:8" x14ac:dyDescent="0.25">
      <c r="A15" t="s">
        <v>27</v>
      </c>
      <c r="B15">
        <v>3</v>
      </c>
      <c r="C15" t="s">
        <v>34</v>
      </c>
      <c r="D15" t="s">
        <v>33</v>
      </c>
      <c r="E15">
        <v>1</v>
      </c>
      <c r="H15" s="4" t="s">
        <v>35</v>
      </c>
    </row>
    <row r="16" spans="1:8" x14ac:dyDescent="0.25">
      <c r="A16" t="s">
        <v>27</v>
      </c>
      <c r="B16">
        <v>3</v>
      </c>
      <c r="C16" t="s">
        <v>12</v>
      </c>
      <c r="D16" t="s">
        <v>31</v>
      </c>
      <c r="E16">
        <v>8</v>
      </c>
      <c r="H16" s="4" t="s">
        <v>23</v>
      </c>
    </row>
    <row r="17" spans="1:8" x14ac:dyDescent="0.25">
      <c r="A17" t="s">
        <v>36</v>
      </c>
      <c r="B17">
        <v>4</v>
      </c>
      <c r="C17" t="s">
        <v>7</v>
      </c>
      <c r="D17" t="s">
        <v>8</v>
      </c>
      <c r="E17">
        <v>1</v>
      </c>
      <c r="H17" s="4" t="s">
        <v>37</v>
      </c>
    </row>
    <row r="18" spans="1:8" x14ac:dyDescent="0.25">
      <c r="A18" t="s">
        <v>36</v>
      </c>
      <c r="B18">
        <v>4</v>
      </c>
      <c r="C18" t="s">
        <v>9</v>
      </c>
      <c r="D18" t="s">
        <v>8</v>
      </c>
      <c r="E18">
        <v>1</v>
      </c>
      <c r="H18" s="4" t="s">
        <v>38</v>
      </c>
    </row>
    <row r="19" spans="1:8" x14ac:dyDescent="0.25">
      <c r="A19" t="s">
        <v>36</v>
      </c>
      <c r="B19">
        <v>4</v>
      </c>
      <c r="C19" t="s">
        <v>10</v>
      </c>
      <c r="D19" t="s">
        <v>39</v>
      </c>
      <c r="E19">
        <v>1</v>
      </c>
      <c r="H19" s="4" t="s">
        <v>40</v>
      </c>
    </row>
    <row r="20" spans="1:8" x14ac:dyDescent="0.25">
      <c r="A20" t="s">
        <v>36</v>
      </c>
      <c r="B20">
        <v>4</v>
      </c>
      <c r="C20" t="s">
        <v>32</v>
      </c>
      <c r="D20" t="s">
        <v>41</v>
      </c>
      <c r="E20">
        <v>1</v>
      </c>
      <c r="H20" s="4" t="s">
        <v>42</v>
      </c>
    </row>
    <row r="21" spans="1:8" x14ac:dyDescent="0.25">
      <c r="A21" t="s">
        <v>36</v>
      </c>
      <c r="B21">
        <v>4</v>
      </c>
      <c r="C21" t="s">
        <v>30</v>
      </c>
      <c r="D21" t="s">
        <v>43</v>
      </c>
      <c r="E21">
        <v>1</v>
      </c>
      <c r="H21" s="4" t="s">
        <v>44</v>
      </c>
    </row>
    <row r="22" spans="1:8" x14ac:dyDescent="0.25">
      <c r="A22" t="s">
        <v>36</v>
      </c>
      <c r="B22">
        <v>4</v>
      </c>
      <c r="C22" t="s">
        <v>44</v>
      </c>
      <c r="D22" t="s">
        <v>45</v>
      </c>
      <c r="E22">
        <v>1</v>
      </c>
      <c r="H22" s="4" t="s">
        <v>46</v>
      </c>
    </row>
    <row r="23" spans="1:8" x14ac:dyDescent="0.25">
      <c r="A23" t="s">
        <v>36</v>
      </c>
      <c r="B23">
        <v>4</v>
      </c>
      <c r="C23" t="s">
        <v>12</v>
      </c>
      <c r="D23" t="s">
        <v>47</v>
      </c>
      <c r="E23">
        <v>1</v>
      </c>
      <c r="H23" s="4" t="s">
        <v>48</v>
      </c>
    </row>
    <row r="24" spans="1:8" x14ac:dyDescent="0.25">
      <c r="A24" t="s">
        <v>36</v>
      </c>
      <c r="B24">
        <v>4</v>
      </c>
      <c r="C24" t="s">
        <v>12</v>
      </c>
      <c r="D24" t="s">
        <v>49</v>
      </c>
      <c r="E24">
        <v>1</v>
      </c>
      <c r="H24" s="4" t="s">
        <v>50</v>
      </c>
    </row>
    <row r="25" spans="1:8" x14ac:dyDescent="0.25">
      <c r="A25" t="s">
        <v>36</v>
      </c>
      <c r="B25">
        <v>4</v>
      </c>
      <c r="C25" t="s">
        <v>40</v>
      </c>
      <c r="D25" t="s">
        <v>51</v>
      </c>
      <c r="E25">
        <v>1</v>
      </c>
      <c r="H25" s="4" t="s">
        <v>52</v>
      </c>
    </row>
    <row r="26" spans="1:8" x14ac:dyDescent="0.25">
      <c r="A26" t="s">
        <v>36</v>
      </c>
      <c r="B26">
        <v>4</v>
      </c>
      <c r="C26" t="s">
        <v>12</v>
      </c>
      <c r="D26" t="s">
        <v>53</v>
      </c>
      <c r="E26">
        <v>1</v>
      </c>
      <c r="H26" s="4" t="s">
        <v>54</v>
      </c>
    </row>
    <row r="27" spans="1:8" x14ac:dyDescent="0.25">
      <c r="A27" t="s">
        <v>36</v>
      </c>
      <c r="B27">
        <v>4</v>
      </c>
      <c r="C27" t="s">
        <v>50</v>
      </c>
      <c r="D27" t="s">
        <v>8</v>
      </c>
      <c r="E27">
        <v>1</v>
      </c>
      <c r="H27" s="4" t="s">
        <v>55</v>
      </c>
    </row>
    <row r="28" spans="1:8" x14ac:dyDescent="0.25">
      <c r="H28" s="4" t="s">
        <v>30</v>
      </c>
    </row>
    <row r="29" spans="1:8" x14ac:dyDescent="0.25">
      <c r="H29" s="4" t="s">
        <v>32</v>
      </c>
    </row>
    <row r="30" spans="1:8" x14ac:dyDescent="0.25">
      <c r="H30" s="4" t="s">
        <v>34</v>
      </c>
    </row>
    <row r="31" spans="1:8" x14ac:dyDescent="0.25">
      <c r="H31" s="4" t="s">
        <v>10</v>
      </c>
    </row>
    <row r="32" spans="1:8" x14ac:dyDescent="0.25">
      <c r="H32" s="4" t="s">
        <v>56</v>
      </c>
    </row>
  </sheetData>
  <dataValidations count="1">
    <dataValidation type="list" allowBlank="1" showInputMessage="1" showErrorMessage="1" errorTitle="ERROR_NOMBRE_TEMA" error="Hay error en el ID del Tema Revisar bien el nombre" sqref="C2:C100" xr:uid="{CFA361C2-B9C2-45B4-B85D-A5D6F3D53093}">
      <formula1>$H$2:$H$32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12"/>
  <sheetViews>
    <sheetView workbookViewId="0">
      <selection activeCell="B12" sqref="B12"/>
    </sheetView>
  </sheetViews>
  <sheetFormatPr baseColWidth="10" defaultColWidth="9.140625" defaultRowHeight="15" x14ac:dyDescent="0.25"/>
  <cols>
    <col min="1" max="1" width="30.42578125" customWidth="1"/>
    <col min="2" max="2" width="24.85546875" customWidth="1"/>
  </cols>
  <sheetData>
    <row r="1" spans="1:2" ht="15.75" customHeight="1" x14ac:dyDescent="0.25">
      <c r="A1" s="3" t="s">
        <v>57</v>
      </c>
      <c r="B1" s="3" t="s">
        <v>58</v>
      </c>
    </row>
    <row r="2" spans="1:2" x14ac:dyDescent="0.25">
      <c r="A2" s="6" t="s">
        <v>59</v>
      </c>
      <c r="B2" s="8">
        <v>1500</v>
      </c>
    </row>
    <row r="3" spans="1:2" x14ac:dyDescent="0.25">
      <c r="A3" s="6" t="s">
        <v>60</v>
      </c>
      <c r="B3" s="8">
        <v>3000</v>
      </c>
    </row>
    <row r="4" spans="1:2" x14ac:dyDescent="0.25">
      <c r="A4" s="6" t="s">
        <v>61</v>
      </c>
      <c r="B4" s="8">
        <v>4500</v>
      </c>
    </row>
    <row r="5" spans="1:2" x14ac:dyDescent="0.25">
      <c r="A5" s="6" t="s">
        <v>62</v>
      </c>
      <c r="B5" s="8">
        <v>6000</v>
      </c>
    </row>
    <row r="6" spans="1:2" x14ac:dyDescent="0.25">
      <c r="A6" s="6" t="s">
        <v>63</v>
      </c>
      <c r="B6" s="8">
        <v>7500</v>
      </c>
    </row>
    <row r="7" spans="1:2" x14ac:dyDescent="0.25">
      <c r="A7" s="6" t="s">
        <v>64</v>
      </c>
      <c r="B7" s="8">
        <v>9000</v>
      </c>
    </row>
    <row r="8" spans="1:2" x14ac:dyDescent="0.25">
      <c r="A8" s="6" t="s">
        <v>65</v>
      </c>
      <c r="B8" s="8">
        <v>10500</v>
      </c>
    </row>
    <row r="10" spans="1:2" x14ac:dyDescent="0.25">
      <c r="A10" s="2" t="s">
        <v>66</v>
      </c>
      <c r="B10" s="9">
        <f>AVERAGE(B2:B8)</f>
        <v>6000</v>
      </c>
    </row>
    <row r="11" spans="1:2" x14ac:dyDescent="0.25">
      <c r="A11" s="2" t="s">
        <v>67</v>
      </c>
      <c r="B11" s="9">
        <f>MAX(B2:B8)</f>
        <v>10500</v>
      </c>
    </row>
    <row r="12" spans="1:2" x14ac:dyDescent="0.25">
      <c r="A12" s="2" t="s">
        <v>68</v>
      </c>
      <c r="B12" s="9">
        <f>MIN(B2:B8)</f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H21"/>
  <sheetViews>
    <sheetView workbookViewId="0">
      <selection activeCell="I10" sqref="I10"/>
    </sheetView>
  </sheetViews>
  <sheetFormatPr baseColWidth="10" defaultColWidth="9.140625" defaultRowHeight="15" x14ac:dyDescent="0.25"/>
  <cols>
    <col min="2" max="2" width="13.140625" customWidth="1"/>
    <col min="3" max="3" width="28.7109375" customWidth="1"/>
    <col min="4" max="4" width="20.85546875" customWidth="1"/>
  </cols>
  <sheetData>
    <row r="1" spans="1:8" ht="15.75" customHeight="1" x14ac:dyDescent="0.25">
      <c r="A1" s="5" t="s">
        <v>69</v>
      </c>
      <c r="B1" s="5" t="s">
        <v>70</v>
      </c>
      <c r="C1" s="5" t="s">
        <v>71</v>
      </c>
      <c r="D1" s="5" t="s">
        <v>72</v>
      </c>
      <c r="F1" s="7" t="s">
        <v>69</v>
      </c>
      <c r="G1" s="7" t="s">
        <v>73</v>
      </c>
      <c r="H1" s="7" t="s">
        <v>58</v>
      </c>
    </row>
    <row r="2" spans="1:8" x14ac:dyDescent="0.25">
      <c r="A2" s="6" t="s">
        <v>74</v>
      </c>
      <c r="B2" s="4">
        <v>4</v>
      </c>
      <c r="C2" s="10">
        <f t="shared" ref="C2:C21" si="0">VLOOKUP(A2,$F$2:$H$4,3,0)</f>
        <v>25000</v>
      </c>
      <c r="D2" s="4" t="str">
        <f t="shared" ref="D2:D21" si="1">IF(B2&gt;=10,"10%","Sin desc.")</f>
        <v>Sin desc.</v>
      </c>
      <c r="F2" s="4" t="s">
        <v>75</v>
      </c>
      <c r="G2" s="4" t="s">
        <v>76</v>
      </c>
      <c r="H2" s="4">
        <v>8000</v>
      </c>
    </row>
    <row r="3" spans="1:8" x14ac:dyDescent="0.25">
      <c r="A3" s="6" t="s">
        <v>75</v>
      </c>
      <c r="B3" s="4">
        <v>6</v>
      </c>
      <c r="C3" s="10">
        <f t="shared" si="0"/>
        <v>8000</v>
      </c>
      <c r="D3" s="4" t="str">
        <f t="shared" si="1"/>
        <v>Sin desc.</v>
      </c>
      <c r="F3" s="4" t="s">
        <v>77</v>
      </c>
      <c r="G3" s="4" t="s">
        <v>78</v>
      </c>
      <c r="H3" s="4">
        <v>12000</v>
      </c>
    </row>
    <row r="4" spans="1:8" x14ac:dyDescent="0.25">
      <c r="A4" s="6" t="s">
        <v>77</v>
      </c>
      <c r="B4" s="4">
        <v>8</v>
      </c>
      <c r="C4" s="10">
        <f t="shared" si="0"/>
        <v>12000</v>
      </c>
      <c r="D4" s="4" t="str">
        <f t="shared" si="1"/>
        <v>Sin desc.</v>
      </c>
      <c r="F4" s="4" t="s">
        <v>74</v>
      </c>
      <c r="G4" s="4" t="s">
        <v>79</v>
      </c>
      <c r="H4" s="4">
        <v>25000</v>
      </c>
    </row>
    <row r="5" spans="1:8" x14ac:dyDescent="0.25">
      <c r="A5" s="6" t="s">
        <v>74</v>
      </c>
      <c r="B5" s="4">
        <v>10</v>
      </c>
      <c r="C5" s="10">
        <f t="shared" si="0"/>
        <v>25000</v>
      </c>
      <c r="D5" s="4" t="str">
        <f t="shared" si="1"/>
        <v>10%</v>
      </c>
    </row>
    <row r="6" spans="1:8" x14ac:dyDescent="0.25">
      <c r="A6" s="6" t="s">
        <v>75</v>
      </c>
      <c r="B6" s="4">
        <v>12</v>
      </c>
      <c r="C6" s="10">
        <f t="shared" si="0"/>
        <v>8000</v>
      </c>
      <c r="D6" s="4" t="str">
        <f t="shared" si="1"/>
        <v>10%</v>
      </c>
    </row>
    <row r="7" spans="1:8" x14ac:dyDescent="0.25">
      <c r="A7" s="6" t="s">
        <v>77</v>
      </c>
      <c r="B7" s="4">
        <v>14</v>
      </c>
      <c r="C7" s="10">
        <f t="shared" si="0"/>
        <v>12000</v>
      </c>
      <c r="D7" s="4" t="str">
        <f t="shared" si="1"/>
        <v>10%</v>
      </c>
    </row>
    <row r="8" spans="1:8" x14ac:dyDescent="0.25">
      <c r="A8" s="6" t="s">
        <v>74</v>
      </c>
      <c r="B8" s="4">
        <v>16</v>
      </c>
      <c r="C8" s="10">
        <f t="shared" si="0"/>
        <v>25000</v>
      </c>
      <c r="D8" s="4" t="str">
        <f t="shared" si="1"/>
        <v>10%</v>
      </c>
    </row>
    <row r="9" spans="1:8" x14ac:dyDescent="0.25">
      <c r="A9" s="6" t="s">
        <v>75</v>
      </c>
      <c r="B9" s="4">
        <v>18</v>
      </c>
      <c r="C9" s="10">
        <f t="shared" si="0"/>
        <v>8000</v>
      </c>
      <c r="D9" s="4" t="str">
        <f t="shared" si="1"/>
        <v>10%</v>
      </c>
    </row>
    <row r="10" spans="1:8" x14ac:dyDescent="0.25">
      <c r="A10" s="6" t="s">
        <v>77</v>
      </c>
      <c r="B10" s="4">
        <v>20</v>
      </c>
      <c r="C10" s="10">
        <f t="shared" si="0"/>
        <v>12000</v>
      </c>
      <c r="D10" s="4" t="str">
        <f t="shared" si="1"/>
        <v>10%</v>
      </c>
    </row>
    <row r="11" spans="1:8" x14ac:dyDescent="0.25">
      <c r="A11" s="6" t="s">
        <v>74</v>
      </c>
      <c r="B11" s="4">
        <v>22</v>
      </c>
      <c r="C11" s="10">
        <f t="shared" si="0"/>
        <v>25000</v>
      </c>
      <c r="D11" s="4" t="str">
        <f t="shared" si="1"/>
        <v>10%</v>
      </c>
    </row>
    <row r="12" spans="1:8" x14ac:dyDescent="0.25">
      <c r="A12" s="6" t="s">
        <v>75</v>
      </c>
      <c r="B12" s="4">
        <v>24</v>
      </c>
      <c r="C12" s="10">
        <f t="shared" si="0"/>
        <v>8000</v>
      </c>
      <c r="D12" s="4" t="str">
        <f t="shared" si="1"/>
        <v>10%</v>
      </c>
    </row>
    <row r="13" spans="1:8" x14ac:dyDescent="0.25">
      <c r="A13" s="6" t="s">
        <v>77</v>
      </c>
      <c r="B13" s="4">
        <v>26</v>
      </c>
      <c r="C13" s="10">
        <f t="shared" si="0"/>
        <v>12000</v>
      </c>
      <c r="D13" s="4" t="str">
        <f t="shared" si="1"/>
        <v>10%</v>
      </c>
    </row>
    <row r="14" spans="1:8" x14ac:dyDescent="0.25">
      <c r="A14" s="6" t="s">
        <v>74</v>
      </c>
      <c r="B14" s="4">
        <v>28</v>
      </c>
      <c r="C14" s="10">
        <f t="shared" si="0"/>
        <v>25000</v>
      </c>
      <c r="D14" s="4" t="str">
        <f t="shared" si="1"/>
        <v>10%</v>
      </c>
    </row>
    <row r="15" spans="1:8" x14ac:dyDescent="0.25">
      <c r="A15" s="6" t="s">
        <v>75</v>
      </c>
      <c r="B15" s="4">
        <v>30</v>
      </c>
      <c r="C15" s="10">
        <f t="shared" si="0"/>
        <v>8000</v>
      </c>
      <c r="D15" s="4" t="str">
        <f t="shared" si="1"/>
        <v>10%</v>
      </c>
    </row>
    <row r="16" spans="1:8" x14ac:dyDescent="0.25">
      <c r="A16" s="6" t="s">
        <v>77</v>
      </c>
      <c r="B16" s="4">
        <v>32</v>
      </c>
      <c r="C16" s="10">
        <f t="shared" si="0"/>
        <v>12000</v>
      </c>
      <c r="D16" s="4" t="str">
        <f t="shared" si="1"/>
        <v>10%</v>
      </c>
    </row>
    <row r="17" spans="1:4" x14ac:dyDescent="0.25">
      <c r="A17" s="6" t="s">
        <v>74</v>
      </c>
      <c r="B17" s="4">
        <v>34</v>
      </c>
      <c r="C17" s="10">
        <f t="shared" si="0"/>
        <v>25000</v>
      </c>
      <c r="D17" s="4" t="str">
        <f t="shared" si="1"/>
        <v>10%</v>
      </c>
    </row>
    <row r="18" spans="1:4" x14ac:dyDescent="0.25">
      <c r="A18" s="6" t="s">
        <v>75</v>
      </c>
      <c r="B18" s="4">
        <v>36</v>
      </c>
      <c r="C18" s="10">
        <f t="shared" si="0"/>
        <v>8000</v>
      </c>
      <c r="D18" s="4" t="str">
        <f t="shared" si="1"/>
        <v>10%</v>
      </c>
    </row>
    <row r="19" spans="1:4" x14ac:dyDescent="0.25">
      <c r="A19" s="6" t="s">
        <v>77</v>
      </c>
      <c r="B19" s="4">
        <v>38</v>
      </c>
      <c r="C19" s="10">
        <f t="shared" si="0"/>
        <v>12000</v>
      </c>
      <c r="D19" s="4" t="str">
        <f t="shared" si="1"/>
        <v>10%</v>
      </c>
    </row>
    <row r="20" spans="1:4" x14ac:dyDescent="0.25">
      <c r="A20" s="6" t="s">
        <v>74</v>
      </c>
      <c r="B20" s="4">
        <v>40</v>
      </c>
      <c r="C20" s="10">
        <f t="shared" si="0"/>
        <v>25000</v>
      </c>
      <c r="D20" s="4" t="str">
        <f t="shared" si="1"/>
        <v>10%</v>
      </c>
    </row>
    <row r="21" spans="1:4" x14ac:dyDescent="0.25">
      <c r="A21" s="6" t="s">
        <v>75</v>
      </c>
      <c r="B21" s="4">
        <v>42</v>
      </c>
      <c r="C21" s="10">
        <f t="shared" si="0"/>
        <v>8000</v>
      </c>
      <c r="D21" s="4" t="str">
        <f t="shared" si="1"/>
        <v>10%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D31"/>
  <sheetViews>
    <sheetView workbookViewId="0">
      <selection activeCell="H18" sqref="H18"/>
    </sheetView>
  </sheetViews>
  <sheetFormatPr baseColWidth="10" defaultRowHeight="15" x14ac:dyDescent="0.25"/>
  <cols>
    <col min="2" max="2" width="20.140625" customWidth="1"/>
    <col min="4" max="4" width="20.42578125" customWidth="1"/>
  </cols>
  <sheetData>
    <row r="2" spans="2:4" x14ac:dyDescent="0.25">
      <c r="B2" s="11" t="s">
        <v>80</v>
      </c>
      <c r="D2" s="11" t="s">
        <v>80</v>
      </c>
    </row>
    <row r="4" spans="2:4" x14ac:dyDescent="0.25">
      <c r="B4" s="4">
        <v>32</v>
      </c>
      <c r="D4" s="4">
        <v>12</v>
      </c>
    </row>
    <row r="5" spans="2:4" x14ac:dyDescent="0.25">
      <c r="B5" s="4">
        <v>45</v>
      </c>
      <c r="D5" s="4">
        <v>20</v>
      </c>
    </row>
    <row r="6" spans="2:4" x14ac:dyDescent="0.25">
      <c r="B6" s="4">
        <v>50</v>
      </c>
      <c r="D6" s="4">
        <v>10</v>
      </c>
    </row>
    <row r="7" spans="2:4" x14ac:dyDescent="0.25">
      <c r="B7" s="12">
        <f>B4+B5+B6</f>
        <v>127</v>
      </c>
      <c r="D7" s="12">
        <f>D4+D5+D6</f>
        <v>42</v>
      </c>
    </row>
    <row r="10" spans="2:4" x14ac:dyDescent="0.25">
      <c r="B10" s="11" t="s">
        <v>81</v>
      </c>
      <c r="D10" s="11" t="s">
        <v>81</v>
      </c>
    </row>
    <row r="12" spans="2:4" x14ac:dyDescent="0.25">
      <c r="B12" s="4">
        <v>1000</v>
      </c>
      <c r="D12" s="4">
        <v>1500</v>
      </c>
    </row>
    <row r="13" spans="2:4" x14ac:dyDescent="0.25">
      <c r="B13" s="4">
        <v>45</v>
      </c>
      <c r="D13" s="4">
        <v>45</v>
      </c>
    </row>
    <row r="14" spans="2:4" x14ac:dyDescent="0.25">
      <c r="B14" s="4">
        <v>50</v>
      </c>
      <c r="D14" s="4">
        <v>50</v>
      </c>
    </row>
    <row r="15" spans="2:4" x14ac:dyDescent="0.25">
      <c r="B15" s="12">
        <f>B12-B13-B14</f>
        <v>905</v>
      </c>
      <c r="D15" s="12">
        <f>D12-D13-D14</f>
        <v>1405</v>
      </c>
    </row>
    <row r="18" spans="2:4" x14ac:dyDescent="0.25">
      <c r="B18" s="11" t="s">
        <v>82</v>
      </c>
      <c r="D18" s="11" t="s">
        <v>82</v>
      </c>
    </row>
    <row r="20" spans="2:4" x14ac:dyDescent="0.25">
      <c r="B20" s="4">
        <v>32</v>
      </c>
      <c r="D20" s="4">
        <v>5</v>
      </c>
    </row>
    <row r="21" spans="2:4" x14ac:dyDescent="0.25">
      <c r="B21" s="4">
        <v>45</v>
      </c>
      <c r="D21" s="4">
        <v>2</v>
      </c>
    </row>
    <row r="22" spans="2:4" x14ac:dyDescent="0.25">
      <c r="B22" s="4">
        <v>50</v>
      </c>
      <c r="D22" s="4">
        <v>3</v>
      </c>
    </row>
    <row r="23" spans="2:4" x14ac:dyDescent="0.25">
      <c r="B23" s="12">
        <f>B20*B21*B22</f>
        <v>72000</v>
      </c>
      <c r="D23" s="12">
        <f>D20*D21*D22</f>
        <v>30</v>
      </c>
    </row>
    <row r="26" spans="2:4" x14ac:dyDescent="0.25">
      <c r="B26" s="11" t="s">
        <v>83</v>
      </c>
      <c r="D26" s="11" t="s">
        <v>83</v>
      </c>
    </row>
    <row r="28" spans="2:4" x14ac:dyDescent="0.25">
      <c r="B28" s="4">
        <v>1000</v>
      </c>
      <c r="D28" s="4">
        <v>15000</v>
      </c>
    </row>
    <row r="29" spans="2:4" x14ac:dyDescent="0.25">
      <c r="B29" s="4">
        <v>5</v>
      </c>
      <c r="D29" s="4">
        <v>45</v>
      </c>
    </row>
    <row r="30" spans="2:4" x14ac:dyDescent="0.25">
      <c r="B30" s="4">
        <v>2</v>
      </c>
      <c r="D30" s="4">
        <v>50</v>
      </c>
    </row>
    <row r="31" spans="2:4" x14ac:dyDescent="0.25">
      <c r="B31" s="12">
        <f>B28/B29/B30</f>
        <v>100</v>
      </c>
      <c r="D31" s="12">
        <f>D28/D29/D30</f>
        <v>6.6666666666666661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B3:J13"/>
  <sheetViews>
    <sheetView workbookViewId="0">
      <selection activeCell="G22" sqref="G22:G23"/>
    </sheetView>
  </sheetViews>
  <sheetFormatPr baseColWidth="10" defaultRowHeight="15" x14ac:dyDescent="0.25"/>
  <cols>
    <col min="2" max="2" width="14.28515625" customWidth="1"/>
    <col min="3" max="3" width="23.7109375" customWidth="1"/>
    <col min="4" max="5" width="21.85546875" customWidth="1"/>
    <col min="6" max="6" width="24.85546875" customWidth="1"/>
    <col min="7" max="7" width="22.7109375" customWidth="1"/>
  </cols>
  <sheetData>
    <row r="3" spans="2:10" ht="36" customHeight="1" x14ac:dyDescent="0.25">
      <c r="B3" s="13" t="s">
        <v>84</v>
      </c>
      <c r="C3" s="13" t="s">
        <v>85</v>
      </c>
      <c r="D3" s="13" t="s">
        <v>86</v>
      </c>
      <c r="E3" s="13" t="s">
        <v>87</v>
      </c>
      <c r="F3" s="13" t="s">
        <v>88</v>
      </c>
      <c r="G3" s="13" t="s">
        <v>89</v>
      </c>
    </row>
    <row r="4" spans="2:10" ht="19.5" customHeight="1" x14ac:dyDescent="0.25">
      <c r="B4" s="4"/>
      <c r="C4" s="4"/>
      <c r="D4" s="8"/>
      <c r="E4" s="8"/>
      <c r="F4" s="14">
        <f t="shared" ref="F4:F9" si="0">IF(B4&gt;20,E4*10%,0)</f>
        <v>0</v>
      </c>
      <c r="G4" s="14">
        <f t="shared" ref="G4:G9" si="1">E4-F4</f>
        <v>0</v>
      </c>
      <c r="J4" t="s">
        <v>90</v>
      </c>
    </row>
    <row r="5" spans="2:10" ht="19.5" customHeight="1" x14ac:dyDescent="0.25">
      <c r="B5" s="4"/>
      <c r="C5" s="4"/>
      <c r="D5" s="8"/>
      <c r="E5" s="8"/>
      <c r="F5" s="14">
        <f t="shared" si="0"/>
        <v>0</v>
      </c>
      <c r="G5" s="14">
        <f t="shared" si="1"/>
        <v>0</v>
      </c>
    </row>
    <row r="6" spans="2:10" ht="19.5" customHeight="1" x14ac:dyDescent="0.25">
      <c r="B6" s="4"/>
      <c r="C6" s="4"/>
      <c r="D6" s="8"/>
      <c r="E6" s="8"/>
      <c r="F6" s="14">
        <f t="shared" si="0"/>
        <v>0</v>
      </c>
      <c r="G6" s="14">
        <f t="shared" si="1"/>
        <v>0</v>
      </c>
    </row>
    <row r="7" spans="2:10" ht="19.5" customHeight="1" x14ac:dyDescent="0.25">
      <c r="B7" s="4"/>
      <c r="C7" s="4"/>
      <c r="D7" s="8"/>
      <c r="E7" s="8"/>
      <c r="F7" s="14">
        <f t="shared" si="0"/>
        <v>0</v>
      </c>
      <c r="G7" s="14">
        <f t="shared" si="1"/>
        <v>0</v>
      </c>
    </row>
    <row r="8" spans="2:10" ht="19.5" customHeight="1" x14ac:dyDescent="0.25">
      <c r="B8" s="4"/>
      <c r="C8" s="4"/>
      <c r="D8" s="8"/>
      <c r="E8" s="8"/>
      <c r="F8" s="14">
        <f t="shared" si="0"/>
        <v>0</v>
      </c>
      <c r="G8" s="14">
        <f t="shared" si="1"/>
        <v>0</v>
      </c>
    </row>
    <row r="9" spans="2:10" ht="19.5" customHeight="1" x14ac:dyDescent="0.25">
      <c r="B9" s="4"/>
      <c r="C9" s="4"/>
      <c r="D9" s="8"/>
      <c r="E9" s="8"/>
      <c r="F9" s="14">
        <f t="shared" si="0"/>
        <v>0</v>
      </c>
      <c r="G9" s="14">
        <f t="shared" si="1"/>
        <v>0</v>
      </c>
    </row>
    <row r="11" spans="2:10" x14ac:dyDescent="0.25">
      <c r="F11" s="15" t="s">
        <v>87</v>
      </c>
      <c r="G11" s="16">
        <f>SUM(G4:G9)</f>
        <v>0</v>
      </c>
    </row>
    <row r="12" spans="2:10" x14ac:dyDescent="0.25">
      <c r="F12" s="15" t="s">
        <v>91</v>
      </c>
      <c r="G12" s="16">
        <f>G11*13/100</f>
        <v>0</v>
      </c>
      <c r="I12" s="17"/>
    </row>
    <row r="13" spans="2:10" x14ac:dyDescent="0.25">
      <c r="F13" s="15" t="s">
        <v>87</v>
      </c>
      <c r="G13" s="18">
        <f>G11+G12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_CONFIG</vt:lpstr>
      <vt:lpstr>Datos</vt:lpstr>
      <vt:lpstr>Analisis</vt:lpstr>
      <vt:lpstr>Operaciones básicas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Arnoldo Angulo Medina</cp:lastModifiedBy>
  <dcterms:created xsi:type="dcterms:W3CDTF">2026-03-26T14:46:22Z</dcterms:created>
  <dcterms:modified xsi:type="dcterms:W3CDTF">2026-03-27T18:35:00Z</dcterms:modified>
</cp:coreProperties>
</file>